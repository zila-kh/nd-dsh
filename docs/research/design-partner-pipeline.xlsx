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Interviews" sheetId="2" state="visible" r:id="rId2"/>
    <sheet name="Partners" sheetId="3" state="visible" r:id="rId3"/>
    <sheet name="Task log" sheetId="4" state="visible" r:id="rId4"/>
    <sheet name="Metrics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20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32" customWidth="1" min="12" max="12"/>
    <col width="28" customWidth="1" min="13" max="13"/>
  </cols>
  <sheetData>
    <row r="1" ht="15" customHeight="1"/>
    <row r="2" ht="32" customHeight="1">
      <c r="B2" s="1" t="inlineStr">
        <is>
          <t>Design-partner pipeline (audit: 30 agencies → 10 conversations → 12 interviews → 5 pilots)</t>
        </is>
      </c>
    </row>
    <row r="3" ht="8" customHeight="1"/>
    <row r="4" ht="38" customHeight="1">
      <c r="B4" s="2" t="inlineStr">
        <is>
          <t>#</t>
        </is>
      </c>
      <c r="C4" s="2" t="inlineStr">
        <is>
          <t>Organization</t>
        </is>
      </c>
      <c r="D4" s="2" t="inlineStr">
        <is>
          <t>Contact</t>
        </is>
      </c>
      <c r="E4" s="2" t="inlineStr">
        <is>
          <t>Role</t>
        </is>
      </c>
      <c r="F4" s="2" t="inlineStr">
        <is>
          <t>Segment</t>
        </is>
      </c>
      <c r="G4" s="2" t="inlineStr">
        <is>
          <t>Source</t>
        </is>
      </c>
      <c r="H4" s="2" t="inlineStr">
        <is>
          <t>OS mix</t>
        </is>
      </c>
      <c r="I4" s="2" t="inlineStr">
        <is>
          <t>Stage</t>
        </is>
      </c>
      <c r="J4" s="2" t="inlineStr">
        <is>
          <t>First contact</t>
        </is>
      </c>
      <c r="K4" s="2" t="inlineStr">
        <is>
          <t>Last touch</t>
        </is>
      </c>
      <c r="L4" s="2" t="inlineStr">
        <is>
          <t>Next step</t>
        </is>
      </c>
      <c r="M4" s="2" t="inlineStr">
        <is>
          <t>Notes</t>
        </is>
      </c>
    </row>
    <row r="5" ht="22" customHeight="1"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 ht="22" customHeight="1"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22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 ht="22" customHeight="1"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 ht="22" customHeight="1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22" customHeight="1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 ht="22" customHeight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 ht="22" customHeight="1"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22" customHeight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 ht="22" customHeight="1"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22" customHeight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 ht="22" customHeight="1"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22" customHeight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 ht="22" customHeight="1"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 ht="22" customHeight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 ht="22" customHeight="1"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 ht="22" customHeight="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 ht="22" customHeight="1"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 ht="22" customHeight="1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 ht="22" customHeight="1"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 ht="22" customHeight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 ht="22" customHeight="1"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 ht="22" customHeight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 ht="22" customHeight="1"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 ht="22" customHeight="1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 ht="22" customHeight="1"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 ht="22" customHeight="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 ht="22" customHeight="1"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 ht="22" customHeight="1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 ht="22" customHeight="1"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 ht="22" customHeight="1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 ht="22" customHeight="1"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 ht="22" customHeight="1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 ht="22" customHeight="1"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 ht="22" customHeight="1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 ht="22" customHeight="1"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 ht="22" customHeight="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 ht="22" customHeight="1"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 ht="22" customHeight="1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 ht="22" customHeight="1"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 ht="26" customHeight="1">
      <c r="B45" s="5" t="inlineStr">
        <is>
          <t>Counts</t>
        </is>
      </c>
      <c r="C45" s="5">
        <f>COUNTIF(I5:I44,"qualified")+COUNTIF(I5:I44,"pilot-consented")&amp;" qualified+"</f>
        <v/>
      </c>
      <c r="D45" s="5">
        <f>COUNTIF(I5:I44,"pilot-consented")&amp;" pilot-consented"</f>
        <v/>
      </c>
      <c r="E45" s="5">
        <f>COUNTIF(I5:I44,"os-blocked")&amp;" os-blocked"</f>
        <v/>
      </c>
      <c r="F45" s="5" t="n"/>
      <c r="G45" s="5" t="n"/>
      <c r="H45" s="5" t="n"/>
      <c r="I45" s="5" t="n"/>
      <c r="J45" s="5" t="n"/>
      <c r="K45" s="5" t="n"/>
      <c r="L45" s="5" t="n"/>
      <c r="M45" s="5" t="n"/>
    </row>
  </sheetData>
  <mergeCells count="1">
    <mergeCell ref="B2:M2"/>
  </mergeCells>
  <dataValidations count="2">
    <dataValidation sqref="I5:I44" showDropDown="0" showInputMessage="0" showErrorMessage="0" allowBlank="1" type="list">
      <formula1>"listed,contacted,replied,call-done,qualified,pilot-consented,active,os-blocked,declined"</formula1>
    </dataValidation>
    <dataValidation sqref="F5:F44" showDropDown="0" showInputMessage="0" showErrorMessage="0" allowBlank="1" type="list">
      <formula1>"Agency,Product team"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2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8" customWidth="1" min="12" max="12"/>
    <col width="40" customWidth="1" min="13" max="13"/>
  </cols>
  <sheetData>
    <row r="1" ht="15" customHeight="1"/>
    <row r="2" ht="32" customHeight="1">
      <c r="B2" s="1" t="inlineStr">
        <is>
          <t>Problem interviews (target: 12 — 8 agency leads, 4 product-team leads)</t>
        </is>
      </c>
    </row>
    <row r="3" ht="8" customHeight="1"/>
    <row r="4" ht="70" customHeight="1">
      <c r="B4" s="2" t="inlineStr">
        <is>
          <t>#</t>
        </is>
      </c>
      <c r="C4" s="2" t="inlineStr">
        <is>
          <t>Date</t>
        </is>
      </c>
      <c r="D4" s="2" t="inlineStr">
        <is>
          <t>Partner code</t>
        </is>
      </c>
      <c r="E4" s="2" t="inlineStr">
        <is>
          <t>Segment</t>
        </is>
      </c>
      <c r="F4" s="2" t="inlineStr">
        <is>
          <t>Recurring problem (Y/N)</t>
        </is>
      </c>
      <c r="G4" s="2" t="inlineStr">
        <is>
          <t>Recent real work (Y/N)</t>
        </is>
      </c>
      <c r="H4" s="2" t="inlineStr">
        <is>
          <t>Windows-compatible (Y/N)</t>
        </is>
      </c>
      <c r="I4" s="2" t="inlineStr">
        <is>
          <t>Review minutes (est.)</t>
        </is>
      </c>
      <c r="J4" s="2" t="inlineStr">
        <is>
          <t>Purchase authority (Y/N)</t>
        </is>
      </c>
      <c r="K4" s="2" t="inlineStr">
        <is>
          <t>Pilot consent (Y/N)</t>
        </is>
      </c>
      <c r="L4" s="2" t="inlineStr">
        <is>
          <t>Referrals</t>
        </is>
      </c>
      <c r="M4" s="2" t="inlineStr">
        <is>
          <t>Verbatim quote</t>
        </is>
      </c>
    </row>
    <row r="5" ht="22" customHeight="1"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 ht="22" customHeight="1"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22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 ht="22" customHeight="1"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 ht="22" customHeight="1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22" customHeight="1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 ht="22" customHeight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 ht="22" customHeight="1"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22" customHeight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 ht="22" customHeight="1"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22" customHeight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 ht="22" customHeight="1"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26" customHeight="1">
      <c r="B17" s="5" t="inlineStr">
        <is>
          <t>Gate</t>
        </is>
      </c>
      <c r="C17" s="5">
        <f>COUNTIF(F5:F16,"Y")&amp;" recurring / "&amp;COUNTIF(G5:G16,"Y")&amp;" real work"</f>
        <v/>
      </c>
      <c r="D17" s="5">
        <f>COUNTIF(J5:J16,"Y")&amp;" pilot consents (gate: &gt;=5; &gt;=6 recurring)"</f>
        <v/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</sheetData>
  <mergeCells count="1">
    <mergeCell ref="B2:M2"/>
  </mergeCells>
  <dataValidations count="1">
    <dataValidation sqref="F5:J16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24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8" customWidth="1" min="14" max="14"/>
  </cols>
  <sheetData>
    <row r="1" ht="15" customHeight="1"/>
    <row r="2" ht="32" customHeight="1">
      <c r="B2" s="1" t="inlineStr">
        <is>
          <t>Design partners (target: 5 supervised pilots, 4 consecutive weeks)</t>
        </is>
      </c>
    </row>
    <row r="3" ht="8" customHeight="1"/>
    <row r="4" ht="86" customHeight="1">
      <c r="B4" s="2" t="inlineStr">
        <is>
          <t>Partner code</t>
        </is>
      </c>
      <c r="C4" s="2" t="inlineStr">
        <is>
          <t>Start date</t>
        </is>
      </c>
      <c r="D4" s="2" t="inlineStr">
        <is>
          <t>Engine / model (fixed)</t>
        </is>
      </c>
      <c r="E4" s="2" t="inlineStr">
        <is>
          <t>Baseline tool</t>
        </is>
      </c>
      <c r="F4" s="2" t="inlineStr">
        <is>
          <t>Week 1 active</t>
        </is>
      </c>
      <c r="G4" s="2" t="inlineStr">
        <is>
          <t>Week 2 active</t>
        </is>
      </c>
      <c r="H4" s="2" t="inlineStr">
        <is>
          <t>Week 3 active</t>
        </is>
      </c>
      <c r="I4" s="2" t="inlineStr">
        <is>
          <t>Week 4 active</t>
        </is>
      </c>
      <c r="J4" s="2" t="inlineStr">
        <is>
          <t>First accepted task date</t>
        </is>
      </c>
      <c r="K4" s="2" t="inlineStr">
        <is>
          <t>Tasks attempted</t>
        </is>
      </c>
      <c r="L4" s="2" t="inlineStr">
        <is>
          <t>Tasks accepted</t>
        </is>
      </c>
      <c r="M4" s="2" t="inlineStr">
        <is>
          <t>Failures / cancels / timeouts</t>
        </is>
      </c>
      <c r="N4" s="2" t="inlineStr">
        <is>
          <t>Notes</t>
        </is>
      </c>
    </row>
    <row r="5" ht="22" customHeight="1"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22" customHeight="1"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 ht="22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22" customHeight="1"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 ht="22" customHeight="1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6" customHeight="1">
      <c r="B10" s="5" t="inlineStr">
        <is>
          <t>Gates</t>
        </is>
      </c>
      <c r="C10" s="5">
        <f>COUNTIF(J5:J9,"&lt;&gt;")&amp;" of 5 first accepted (gate: 4)"</f>
        <v/>
      </c>
      <c r="D10" s="5">
        <f>SUMPRODUCT((E5:E9="Y")*(F5:F9="Y")*(G5:G9="Y")*(H5:H9="Y"))&amp;" of 5 four-week streak (gate: 3)"</f>
        <v/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</sheetData>
  <mergeCells count="1">
    <mergeCell ref="B2:N2"/>
  </mergeCells>
  <dataValidations count="1">
    <dataValidation sqref="F5:I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6" customWidth="1" min="4" max="4"/>
    <col width="8" customWidth="1" min="5" max="5"/>
    <col width="8" customWidth="1" min="6" max="6"/>
    <col width="16" customWidth="1" min="7" max="7"/>
    <col width="8" customWidth="1" min="8" max="8"/>
    <col width="8" customWidth="1" min="9" max="9"/>
    <col width="8" customWidth="1" min="10" max="10"/>
    <col width="2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24" customWidth="1" min="19" max="19"/>
    <col width="8" customWidth="1" min="20" max="20"/>
  </cols>
  <sheetData>
    <row r="1" ht="15" customHeight="1"/>
    <row r="2" ht="32" customHeight="1">
      <c r="B2" s="1" t="inlineStr">
        <is>
          <t>Task log (per-task capture; failures stay in the denominator)</t>
        </is>
      </c>
    </row>
    <row r="3" ht="8" customHeight="1"/>
    <row r="4" ht="86" customHeight="1">
      <c r="B4" s="2" t="inlineStr">
        <is>
          <t>Task ID</t>
        </is>
      </c>
      <c r="C4" s="2" t="inlineStr">
        <is>
          <t>Partner code</t>
        </is>
      </c>
      <c r="D4" s="2" t="inlineStr">
        <is>
          <t>Date</t>
        </is>
      </c>
      <c r="E4" s="2" t="inlineStr">
        <is>
          <t>Build / OS</t>
        </is>
      </c>
      <c r="F4" s="2" t="inlineStr">
        <is>
          <t>Engine / model</t>
        </is>
      </c>
      <c r="G4" s="2" t="inlineStr">
        <is>
          <t>Ticket class</t>
        </is>
      </c>
      <c r="H4" s="2" t="inlineStr">
        <is>
          <t>Baseline tool</t>
        </is>
      </c>
      <c r="I4" s="2" t="inlineStr">
        <is>
          <t>Human active min (setup)</t>
        </is>
      </c>
      <c r="J4" s="2" t="inlineStr">
        <is>
          <t>Human active min (supervise)</t>
        </is>
      </c>
      <c r="K4" s="2" t="inlineStr">
        <is>
          <t>Human active min (review+rework)</t>
        </is>
      </c>
      <c r="L4" s="2" t="inlineStr">
        <is>
          <t>Checks run / result</t>
        </is>
      </c>
      <c r="M4" s="2" t="inlineStr">
        <is>
          <t>Retries</t>
        </is>
      </c>
      <c r="N4" s="2" t="inlineStr">
        <is>
          <t>Cancel / fail / timeout</t>
        </is>
      </c>
      <c r="O4" s="2" t="inlineStr">
        <is>
          <t>Reviewer verdict</t>
        </is>
      </c>
      <c r="P4" s="2" t="inlineStr">
        <is>
          <t>Integrated?</t>
        </is>
      </c>
      <c r="Q4" s="2" t="inlineStr">
        <is>
          <t>Cash cost (USD)</t>
        </is>
      </c>
      <c r="R4" s="2" t="inlineStr">
        <is>
          <t>Est. provider value (USD)</t>
        </is>
      </c>
      <c r="S4" s="2" t="inlineStr">
        <is>
          <t>7-day defects</t>
        </is>
      </c>
      <c r="T4" s="2" t="inlineStr">
        <is>
          <t>Notes</t>
        </is>
      </c>
    </row>
    <row r="5" ht="22" customHeight="1"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 ht="22" customHeight="1"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22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 ht="22" customHeight="1"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 ht="22" customHeight="1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 ht="22" customHeight="1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 ht="22" customHeight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 ht="22" customHeight="1"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 ht="22" customHeight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 ht="22" customHeight="1"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 ht="22" customHeight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 ht="22" customHeight="1"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 ht="22" customHeight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 ht="22" customHeight="1"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 ht="22" customHeight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 ht="22" customHeight="1"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 ht="22" customHeight="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 ht="22" customHeight="1"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 ht="22" customHeight="1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 ht="22" customHeight="1"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 ht="22" customHeight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 ht="22" customHeight="1"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 ht="22" customHeight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 ht="22" customHeight="1"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 ht="22" customHeight="1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 ht="22" customHeight="1"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 ht="22" customHeight="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</row>
    <row r="32" ht="22" customHeight="1"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 ht="22" customHeight="1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</row>
    <row r="34" ht="22" customHeight="1"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 ht="22" customHeight="1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 ht="22" customHeight="1"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 ht="22" customHeight="1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</row>
    <row r="38" ht="22" customHeight="1"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 ht="22" customHeight="1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</row>
    <row r="40" ht="22" customHeight="1"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 ht="22" customHeight="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 ht="22" customHeight="1"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 ht="22" customHeight="1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</row>
    <row r="44" ht="22" customHeight="1"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 ht="22" customHeight="1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</row>
    <row r="46" ht="22" customHeight="1"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 ht="22" customHeight="1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</row>
    <row r="48" ht="22" customHeight="1"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 ht="22" customHeight="1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</row>
    <row r="50" ht="22" customHeight="1"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 ht="22" customHeight="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</row>
    <row r="52" ht="22" customHeight="1"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 ht="22" customHeight="1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</row>
    <row r="54" ht="22" customHeight="1"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</sheetData>
  <mergeCells count="1">
    <mergeCell ref="B2:T2"/>
  </mergeCells>
  <dataValidations count="1">
    <dataValidation sqref="O5:O54" showDropDown="0" showInputMessage="0" showErrorMessage="0" allowBlank="1" type="list">
      <formula1>"accept,rework"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60" customWidth="1" min="3" max="3"/>
    <col width="34" customWidth="1" min="4" max="4"/>
  </cols>
  <sheetData>
    <row r="1" ht="15" customHeight="1"/>
    <row r="2" ht="32" customHeight="1">
      <c r="B2" s="1" t="inlineStr">
        <is>
          <t>Metrics dictionary (audit measurement design)</t>
        </is>
      </c>
    </row>
    <row r="3" ht="8" customHeight="1"/>
    <row r="4" ht="54" customHeight="1">
      <c r="B4" s="2" t="inlineStr">
        <is>
          <t>Term</t>
        </is>
      </c>
      <c r="C4" s="2" t="inlineStr">
        <is>
          <t>Definition</t>
        </is>
      </c>
      <c r="D4" s="2" t="inlineStr">
        <is>
          <t>Gate / threshold</t>
        </is>
      </c>
    </row>
    <row r="5" ht="54" customHeight="1">
      <c r="B5" s="3" t="inlineStr">
        <is>
          <t>Accepted task</t>
        </is>
      </c>
      <c r="C5" s="3" t="inlineStr">
        <is>
          <t>Predeclared criteria + required checks passed + explicit human reviewer acceptance. A green agent review alone is weaker evidence; record separately.</t>
        </is>
      </c>
      <c r="D5" s="3" t="inlineStr">
        <is>
          <t>—</t>
        </is>
      </c>
    </row>
    <row r="6" ht="38" customHeight="1">
      <c r="B6" s="4" t="inlineStr">
        <is>
          <t>Activation</t>
        </is>
      </c>
      <c r="C6" s="4" t="inlineStr">
        <is>
          <t>Partner completed a first accepted task.</t>
        </is>
      </c>
      <c r="D6" s="4" t="inlineStr">
        <is>
          <t>4 of 5 partners</t>
        </is>
      </c>
    </row>
    <row r="7" ht="38" customHeight="1">
      <c r="B7" s="3" t="inlineStr">
        <is>
          <t>Retention</t>
        </is>
      </c>
      <c r="C7" s="3" t="inlineStr">
        <is>
          <t>Partner used ND in each of four consecutive weeks.</t>
        </is>
      </c>
      <c r="D7" s="3" t="inlineStr">
        <is>
          <t>3 of 5 partners</t>
        </is>
      </c>
    </row>
    <row r="8" ht="54" customHeight="1">
      <c r="B8" s="4" t="inlineStr">
        <is>
          <t>Value</t>
        </is>
      </c>
      <c r="C8" s="4" t="inlineStr">
        <is>
          <t>Median human active minutes on matched task classes vs the partner's actual existing workflow; equal or matched total scope; never a re-used solved task.</t>
        </is>
      </c>
      <c r="D8" s="4" t="inlineStr">
        <is>
          <t>&gt;= 20% lower median; no increase in 7-day defects</t>
        </is>
      </c>
    </row>
    <row r="9" ht="38" customHeight="1">
      <c r="B9" s="3" t="inlineStr">
        <is>
          <t>Trust incident</t>
        </is>
      </c>
      <c r="C9" s="3" t="inlineStr">
        <is>
          <t>Cross-client leak, human work loss, or unapproved external action.</t>
        </is>
      </c>
      <c r="D9" s="3" t="inlineStr">
        <is>
          <t>0 observed; any incident pauses the pilot</t>
        </is>
      </c>
    </row>
    <row r="10" ht="54" customHeight="1">
      <c r="B10" s="4" t="inlineStr">
        <is>
          <t>Reliability rule</t>
        </is>
      </c>
      <c r="C10" s="4" t="inlineStr">
        <is>
          <t>Failures, cancellations, and timeouts stay in every reported denominator.</t>
        </is>
      </c>
      <c r="D10" s="4" t="inlineStr">
        <is>
          <t>Always</t>
        </is>
      </c>
    </row>
    <row r="11" ht="54" customHeight="1">
      <c r="B11" s="3" t="inlineStr">
        <is>
          <t>Human active minutes</t>
        </is>
      </c>
      <c r="C11" s="3" t="inlineStr">
        <is>
          <t>Setup + supervision + review + rework, tracked separately per task.</t>
        </is>
      </c>
      <c r="D11" s="3" t="inlineStr">
        <is>
          <t>Primary guardrail</t>
        </is>
      </c>
    </row>
    <row r="12" ht="54" customHeight="1">
      <c r="B12" s="4" t="inlineStr">
        <is>
          <t>Seven-day defect</t>
        </is>
      </c>
      <c r="C12" s="4" t="inlineStr">
        <is>
          <t>Defect in an accepted task discovered within 7 days of acceptance.</t>
        </is>
      </c>
      <c r="D12" s="4" t="inlineStr">
        <is>
          <t>Guardrail</t>
        </is>
      </c>
    </row>
    <row r="13" ht="70" customHeight="1">
      <c r="B13" s="3" t="inlineStr">
        <is>
          <t>Actual vs estimated cost</t>
        </is>
      </c>
      <c r="C13" s="3" t="inlineStr">
        <is>
          <t>Cash spent vs estimated provider value; reconcile a sample against provider records; disclose unknowns.</t>
        </is>
      </c>
      <c r="D13" s="3" t="inlineStr">
        <is>
          <t>P1 after gate</t>
        </is>
      </c>
    </row>
    <row r="14" ht="54" customHeight="1">
      <c r="B14" s="4" t="inlineStr">
        <is>
          <t>Workflow comparison</t>
        </is>
      </c>
      <c r="C14" s="4" t="inlineStr">
        <is>
          <t>Comparison where engine/model/budget differs; label as workflow comparison, never an engine benchmark.</t>
        </is>
      </c>
      <c r="D14" s="4" t="inlineStr">
        <is>
          <t>Labeling rule</t>
        </is>
      </c>
    </row>
    <row r="15" ht="38" customHeight="1">
      <c r="B15" s="3" t="inlineStr">
        <is>
          <t>os-blocked</t>
        </is>
      </c>
      <c r="C15" s="3" t="inlineStr">
        <is>
          <t>Qualified prospect excluded because the documented artifact is Windows-only.</t>
        </is>
      </c>
      <c r="D15" s="3" t="inlineStr">
        <is>
          <t>Track; not product rejection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2026-09-30T07:17:44Z</dcterms:created>
  <dcterms:modified xsi:type="dcterms:W3CDTF">2026-09-30T07:17:45Z</dcterms:modified>
</cp:coreProperties>
</file>